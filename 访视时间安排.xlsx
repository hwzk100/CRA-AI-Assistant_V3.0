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35"/>
  </bookViews>
  <sheets>
    <sheet name="访视时间安排" sheetId="1" r:id="rId1"/>
  </sheets>
  <calcPr calcId="144525"/>
</workbook>
</file>

<file path=xl/sharedStrings.xml><?xml version="1.0" encoding="utf-8"?>
<sst xmlns="http://schemas.openxmlformats.org/spreadsheetml/2006/main" count="43" uniqueCount="34">
  <si>
    <t>中心编号</t>
  </si>
  <si>
    <t>筛选号</t>
  </si>
  <si>
    <t>姓名缩写</t>
  </si>
  <si>
    <t>签知情日期</t>
  </si>
  <si>
    <t>入组日期</t>
  </si>
  <si>
    <t>组别</t>
  </si>
  <si>
    <t>患者当前状态</t>
  </si>
  <si>
    <t xml:space="preserve">C1D2
</t>
  </si>
  <si>
    <t xml:space="preserve">C1D4
</t>
  </si>
  <si>
    <t xml:space="preserve">C1D8
</t>
  </si>
  <si>
    <t xml:space="preserve">C1D15
</t>
  </si>
  <si>
    <t>C2D1</t>
  </si>
  <si>
    <t>WEEK6评估
前48周每6周（±7 天）</t>
  </si>
  <si>
    <t>C3D1</t>
  </si>
  <si>
    <t>C3D2</t>
  </si>
  <si>
    <t>C3D4</t>
  </si>
  <si>
    <t>C3D8</t>
  </si>
  <si>
    <t>C3D15</t>
  </si>
  <si>
    <t>C4</t>
  </si>
  <si>
    <t>WEEK12评估
前48周每6周（±7 天）</t>
  </si>
  <si>
    <t>C5</t>
  </si>
  <si>
    <t>C6</t>
  </si>
  <si>
    <t>C7</t>
  </si>
  <si>
    <t>C8</t>
  </si>
  <si>
    <t>C9</t>
  </si>
  <si>
    <t>C10</t>
  </si>
  <si>
    <t>C11</t>
  </si>
  <si>
    <t>终止治疗原因</t>
  </si>
  <si>
    <t>安全性随访</t>
  </si>
  <si>
    <t>生存随访1</t>
  </si>
  <si>
    <t>生存随访2</t>
  </si>
  <si>
    <t>时间窗</t>
  </si>
  <si>
    <t>如果因为AE 暂停给药，EOT 时已经超过末次给药后30 天，可以跳过30
天的安全性随访</t>
  </si>
  <si>
    <t>临床疾病进展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</si>
</sst>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</numFmts>
  <fonts count="23">
    <font>
      <sz val="12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3" tint="0.799584948271126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11" borderId="10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7" borderId="12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14" borderId="11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8" fillId="10" borderId="9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 wrapText="1"/>
    </xf>
    <xf numFmtId="176" fontId="1" fillId="3" borderId="1" xfId="49" applyNumberFormat="1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center" vertical="center" wrapText="1"/>
    </xf>
    <xf numFmtId="176" fontId="1" fillId="3" borderId="1" xfId="49" applyNumberFormat="1" applyFont="1" applyFill="1" applyBorder="1" applyAlignment="1">
      <alignment horizontal="center" vertical="center"/>
    </xf>
    <xf numFmtId="176" fontId="1" fillId="4" borderId="1" xfId="49" applyNumberFormat="1" applyFont="1" applyFill="1" applyBorder="1" applyAlignment="1">
      <alignment horizontal="center" vertical="center" wrapText="1"/>
    </xf>
    <xf numFmtId="176" fontId="1" fillId="4" borderId="1" xfId="49" applyNumberFormat="1" applyFont="1" applyFill="1" applyBorder="1" applyAlignment="1">
      <alignment horizontal="center" vertical="center"/>
    </xf>
    <xf numFmtId="176" fontId="1" fillId="4" borderId="5" xfId="49" applyNumberFormat="1" applyFont="1" applyFill="1" applyBorder="1" applyAlignment="1">
      <alignment horizontal="center" vertical="center" wrapText="1"/>
    </xf>
    <xf numFmtId="176" fontId="1" fillId="4" borderId="6" xfId="49" applyNumberFormat="1" applyFont="1" applyFill="1" applyBorder="1" applyAlignment="1">
      <alignment horizontal="center" vertical="center"/>
    </xf>
    <xf numFmtId="176" fontId="1" fillId="4" borderId="5" xfId="49" applyNumberFormat="1" applyFont="1" applyFill="1" applyBorder="1" applyAlignment="1">
      <alignment horizontal="center" vertical="center"/>
    </xf>
    <xf numFmtId="176" fontId="1" fillId="4" borderId="7" xfId="49" applyNumberFormat="1" applyFont="1" applyFill="1" applyBorder="1" applyAlignment="1">
      <alignment horizontal="center" vertical="center"/>
    </xf>
    <xf numFmtId="176" fontId="1" fillId="3" borderId="5" xfId="49" applyNumberFormat="1" applyFont="1" applyFill="1" applyBorder="1" applyAlignment="1">
      <alignment horizontal="center" vertical="center"/>
    </xf>
    <xf numFmtId="176" fontId="1" fillId="3" borderId="7" xfId="49" applyNumberFormat="1" applyFont="1" applyFill="1" applyBorder="1" applyAlignment="1">
      <alignment horizontal="center" vertical="center"/>
    </xf>
    <xf numFmtId="176" fontId="1" fillId="3" borderId="1" xfId="49" applyNumberFormat="1" applyFont="1" applyFill="1" applyBorder="1" applyAlignment="1">
      <alignment horizontal="left" vertical="top"/>
    </xf>
    <xf numFmtId="176" fontId="1" fillId="3" borderId="5" xfId="49" applyNumberFormat="1" applyFont="1" applyFill="1" applyBorder="1" applyAlignment="1">
      <alignment horizontal="center" vertical="top"/>
    </xf>
    <xf numFmtId="176" fontId="1" fillId="3" borderId="7" xfId="49" applyNumberFormat="1" applyFont="1" applyFill="1" applyBorder="1" applyAlignment="1">
      <alignment horizontal="center" vertical="top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"/>
  <sheetViews>
    <sheetView tabSelected="1" zoomScale="97" zoomScaleNormal="97" workbookViewId="0">
      <pane xSplit="7" ySplit="1" topLeftCell="H2" activePane="bottomRight" state="frozen"/>
      <selection/>
      <selection pane="topRight"/>
      <selection pane="bottomLeft"/>
      <selection pane="bottomRight" activeCell="E1" sqref="E1:E3"/>
    </sheetView>
  </sheetViews>
  <sheetFormatPr defaultColWidth="9.24166666666667" defaultRowHeight="12" outlineLevelRow="2"/>
  <cols>
    <col min="1" max="1" width="7.09166666666667" style="3" customWidth="1"/>
    <col min="2" max="2" width="8.04166666666667" style="3" customWidth="1"/>
    <col min="3" max="3" width="7.01666666666667" style="3" customWidth="1"/>
    <col min="4" max="4" width="10.0083333333333" style="3" customWidth="1"/>
    <col min="5" max="5" width="11.0333333333333" style="3" customWidth="1"/>
    <col min="6" max="6" width="13.2916666666667" style="3" customWidth="1"/>
    <col min="7" max="7" width="10.0083333333333" style="3" customWidth="1"/>
    <col min="8" max="8" width="8.40833333333333" style="4" customWidth="1"/>
    <col min="9" max="9" width="7.78333333333333" style="4" customWidth="1"/>
    <col min="10" max="10" width="8.24166666666667" style="4" customWidth="1"/>
    <col min="11" max="11" width="8.4" style="4" customWidth="1"/>
    <col min="12" max="13" width="9.78333333333333" style="4" customWidth="1"/>
    <col min="14" max="15" width="9.54166666666667" style="4" customWidth="1"/>
    <col min="16" max="16" width="9.9" style="4" customWidth="1"/>
    <col min="17" max="19" width="10.7333333333333" style="4" customWidth="1"/>
    <col min="20" max="20" width="9.3" style="4" customWidth="1"/>
    <col min="21" max="21" width="11.275" style="4" customWidth="1"/>
    <col min="22" max="23" width="8.375" style="4" customWidth="1"/>
    <col min="24" max="24" width="9.00833333333333" style="4" customWidth="1"/>
    <col min="25" max="25" width="8.7" style="4" customWidth="1"/>
    <col min="26" max="26" width="9.16666666666667" style="4" customWidth="1"/>
    <col min="27" max="27" width="9.00833333333333" style="4" customWidth="1"/>
    <col min="28" max="28" width="9.425" style="4" customWidth="1"/>
    <col min="29" max="29" width="10.0166666666667" style="4" customWidth="1"/>
    <col min="30" max="30" width="9.3" style="4" customWidth="1"/>
    <col min="31" max="31" width="10.15" style="4" customWidth="1"/>
    <col min="32" max="33" width="10.7333333333333" style="4" customWidth="1"/>
    <col min="34" max="34" width="10.0416666666667" style="4" customWidth="1"/>
    <col min="35" max="35" width="9.63333333333333" style="4" customWidth="1"/>
    <col min="36" max="37" width="8.375" style="4" customWidth="1"/>
    <col min="38" max="38" width="9.00833333333333" style="4" customWidth="1"/>
    <col min="39" max="39" width="8.7" style="4" customWidth="1"/>
    <col min="40" max="40" width="9.16666666666667" style="4" customWidth="1"/>
    <col min="41" max="41" width="9.00833333333333" style="4" customWidth="1"/>
    <col min="42" max="42" width="9.425" style="4" customWidth="1"/>
    <col min="43" max="43" width="10.0166666666667" style="4" customWidth="1"/>
    <col min="44" max="44" width="8.39166666666667" style="4" customWidth="1"/>
    <col min="45" max="45" width="8.375" style="4" customWidth="1"/>
    <col min="46" max="47" width="10.7333333333333" style="4" customWidth="1"/>
    <col min="48" max="53" width="8.55" style="4" customWidth="1"/>
    <col min="54" max="55" width="8.21666666666667" style="4" customWidth="1"/>
    <col min="56" max="56" width="7.7" style="4" customWidth="1"/>
    <col min="57" max="57" width="9.16666666666667" style="4" customWidth="1"/>
    <col min="58" max="58" width="7.95833333333333" style="4" customWidth="1"/>
    <col min="59" max="64" width="11.0666666666667" style="4" customWidth="1"/>
    <col min="65" max="67" width="9.24166666666667" style="3"/>
    <col min="68" max="69" width="11.0666666666667" style="3"/>
    <col min="70" max="16384" width="9.24166666666667" style="3"/>
  </cols>
  <sheetData>
    <row r="1" s="1" customFormat="1" ht="31" customHeight="1" spans="1:64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2"/>
      <c r="J1" s="7" t="s">
        <v>8</v>
      </c>
      <c r="K1" s="12"/>
      <c r="L1" s="7" t="s">
        <v>9</v>
      </c>
      <c r="M1" s="12"/>
      <c r="N1" s="7" t="s">
        <v>10</v>
      </c>
      <c r="O1" s="12"/>
      <c r="P1" s="13" t="s">
        <v>11</v>
      </c>
      <c r="Q1" s="14"/>
      <c r="R1" s="15" t="s">
        <v>12</v>
      </c>
      <c r="S1" s="16"/>
      <c r="T1" s="13" t="s">
        <v>13</v>
      </c>
      <c r="U1" s="14"/>
      <c r="V1" s="13" t="s">
        <v>14</v>
      </c>
      <c r="W1" s="14"/>
      <c r="X1" s="13" t="s">
        <v>15</v>
      </c>
      <c r="Y1" s="14"/>
      <c r="Z1" s="13" t="s">
        <v>16</v>
      </c>
      <c r="AA1" s="14"/>
      <c r="AB1" s="13" t="s">
        <v>17</v>
      </c>
      <c r="AC1" s="14"/>
      <c r="AD1" s="13" t="s">
        <v>18</v>
      </c>
      <c r="AE1" s="14"/>
      <c r="AF1" s="15" t="s">
        <v>19</v>
      </c>
      <c r="AG1" s="16"/>
      <c r="AH1" s="13" t="s">
        <v>20</v>
      </c>
      <c r="AI1" s="14"/>
      <c r="AJ1" s="13" t="s">
        <v>14</v>
      </c>
      <c r="AK1" s="14"/>
      <c r="AL1" s="13" t="s">
        <v>15</v>
      </c>
      <c r="AM1" s="14"/>
      <c r="AN1" s="13" t="s">
        <v>16</v>
      </c>
      <c r="AO1" s="14"/>
      <c r="AP1" s="13" t="s">
        <v>17</v>
      </c>
      <c r="AQ1" s="14"/>
      <c r="AR1" s="13" t="s">
        <v>21</v>
      </c>
      <c r="AS1" s="14"/>
      <c r="AT1" s="15" t="s">
        <v>19</v>
      </c>
      <c r="AU1" s="16"/>
      <c r="AV1" s="13" t="s">
        <v>22</v>
      </c>
      <c r="AW1" s="14"/>
      <c r="AX1" s="13" t="s">
        <v>23</v>
      </c>
      <c r="AY1" s="14"/>
      <c r="AZ1" s="13" t="s">
        <v>24</v>
      </c>
      <c r="BA1" s="14"/>
      <c r="BB1" s="13" t="s">
        <v>25</v>
      </c>
      <c r="BC1" s="14"/>
      <c r="BD1" s="13" t="s">
        <v>26</v>
      </c>
      <c r="BE1" s="14"/>
      <c r="BF1" s="14"/>
      <c r="BG1" s="7" t="s">
        <v>27</v>
      </c>
      <c r="BH1" s="12" t="s">
        <v>28</v>
      </c>
      <c r="BI1" s="19" t="s">
        <v>29</v>
      </c>
      <c r="BJ1" s="20"/>
      <c r="BK1" s="19" t="s">
        <v>30</v>
      </c>
      <c r="BL1" s="20"/>
    </row>
    <row r="2" s="1" customFormat="1" spans="1:64">
      <c r="A2" s="8"/>
      <c r="B2" s="8"/>
      <c r="C2" s="8"/>
      <c r="D2" s="9"/>
      <c r="E2" s="9"/>
      <c r="F2" s="9"/>
      <c r="G2" s="9"/>
      <c r="H2" s="7" t="s">
        <v>31</v>
      </c>
      <c r="I2" s="12"/>
      <c r="J2" s="7" t="s">
        <v>31</v>
      </c>
      <c r="K2" s="12"/>
      <c r="L2" s="7" t="s">
        <v>31</v>
      </c>
      <c r="M2" s="12"/>
      <c r="N2" s="7" t="s">
        <v>31</v>
      </c>
      <c r="O2" s="12"/>
      <c r="P2" s="14" t="e">
        <f>#REF!+21</f>
        <v>#REF!</v>
      </c>
      <c r="Q2" s="14"/>
      <c r="R2" s="17" t="e">
        <f>#REF!+42</f>
        <v>#REF!</v>
      </c>
      <c r="S2" s="18"/>
      <c r="T2" s="13" t="e">
        <f>#REF!+63</f>
        <v>#REF!</v>
      </c>
      <c r="U2" s="14"/>
      <c r="V2" s="13" t="e">
        <f>#REF!+1</f>
        <v>#REF!</v>
      </c>
      <c r="W2" s="14"/>
      <c r="X2" s="13" t="e">
        <f>#REF!+1</f>
        <v>#REF!</v>
      </c>
      <c r="Y2" s="14"/>
      <c r="Z2" s="13" t="e">
        <f>#REF!+1</f>
        <v>#REF!</v>
      </c>
      <c r="AA2" s="14"/>
      <c r="AB2" s="13" t="e">
        <f>#REF!+1</f>
        <v>#REF!</v>
      </c>
      <c r="AC2" s="14"/>
      <c r="AD2" s="13" t="e">
        <f>#REF!+83</f>
        <v>#REF!</v>
      </c>
      <c r="AE2" s="14"/>
      <c r="AF2" s="17" t="e">
        <f>#REF!+84</f>
        <v>#REF!</v>
      </c>
      <c r="AG2" s="18"/>
      <c r="AH2" s="13" t="e">
        <f>#REF!+252</f>
        <v>#REF!</v>
      </c>
      <c r="AI2" s="14"/>
      <c r="AJ2" s="13" t="e">
        <f>#REF!+1</f>
        <v>#REF!</v>
      </c>
      <c r="AK2" s="14"/>
      <c r="AL2" s="13" t="e">
        <f>#REF!+1</f>
        <v>#REF!</v>
      </c>
      <c r="AM2" s="14"/>
      <c r="AN2" s="13" t="e">
        <f>#REF!+1</f>
        <v>#REF!</v>
      </c>
      <c r="AO2" s="14"/>
      <c r="AP2" s="13" t="e">
        <f>#REF!+1</f>
        <v>#REF!</v>
      </c>
      <c r="AQ2" s="14"/>
      <c r="AR2" s="13" t="e">
        <f>#REF!+280</f>
        <v>#REF!</v>
      </c>
      <c r="AS2" s="14"/>
      <c r="AT2" s="17" t="e">
        <f>#REF!+84</f>
        <v>#REF!</v>
      </c>
      <c r="AU2" s="18"/>
      <c r="AV2" s="13" t="e">
        <f>#REF!+308</f>
        <v>#REF!</v>
      </c>
      <c r="AW2" s="14"/>
      <c r="AX2" s="13" t="e">
        <f>#REF!+336</f>
        <v>#REF!</v>
      </c>
      <c r="AY2" s="14"/>
      <c r="AZ2" s="13" t="e">
        <f>#REF!+364</f>
        <v>#REF!</v>
      </c>
      <c r="BA2" s="14"/>
      <c r="BB2" s="13" t="e">
        <f>#REF!+392</f>
        <v>#REF!</v>
      </c>
      <c r="BC2" s="14"/>
      <c r="BD2" s="13"/>
      <c r="BE2" s="14" t="e">
        <f>#REF!+28</f>
        <v>#REF!</v>
      </c>
      <c r="BF2" s="14"/>
      <c r="BG2" s="7"/>
      <c r="BH2" s="21" t="s">
        <v>32</v>
      </c>
      <c r="BI2" s="22" t="e">
        <f>#REF!+90</f>
        <v>#REF!</v>
      </c>
      <c r="BJ2" s="23"/>
      <c r="BK2" s="22" t="e">
        <f>#REF!+180</f>
        <v>#REF!</v>
      </c>
      <c r="BL2" s="23"/>
    </row>
    <row r="3" s="2" customFormat="1" spans="1:64">
      <c r="A3" s="10"/>
      <c r="B3" s="10"/>
      <c r="C3" s="10"/>
      <c r="D3" s="11"/>
      <c r="E3" s="11"/>
      <c r="F3" s="11"/>
      <c r="G3" s="11"/>
      <c r="H3" s="7"/>
      <c r="I3" s="12"/>
      <c r="J3" s="12"/>
      <c r="K3" s="12"/>
      <c r="L3" s="7" t="e">
        <f t="shared" ref="L3:P3" si="0">L2-1</f>
        <v>#VALUE!</v>
      </c>
      <c r="M3" s="12" t="e">
        <f t="shared" ref="M3:Q3" si="1">L2+1</f>
        <v>#VALUE!</v>
      </c>
      <c r="N3" s="12" t="e">
        <f t="shared" si="0"/>
        <v>#VALUE!</v>
      </c>
      <c r="O3" s="12" t="e">
        <f t="shared" si="1"/>
        <v>#VALUE!</v>
      </c>
      <c r="P3" s="14" t="e">
        <f t="shared" si="0"/>
        <v>#REF!</v>
      </c>
      <c r="Q3" s="14" t="e">
        <f t="shared" si="1"/>
        <v>#REF!</v>
      </c>
      <c r="R3" s="14" t="e">
        <f>R2-7</f>
        <v>#REF!</v>
      </c>
      <c r="S3" s="14" t="e">
        <f>R2+7</f>
        <v>#REF!</v>
      </c>
      <c r="T3" s="13" t="e">
        <f>T2-3</f>
        <v>#REF!</v>
      </c>
      <c r="U3" s="14" t="e">
        <f>T2+3</f>
        <v>#REF!</v>
      </c>
      <c r="V3" s="13"/>
      <c r="W3" s="14"/>
      <c r="X3" s="13"/>
      <c r="Y3" s="14"/>
      <c r="Z3" s="13"/>
      <c r="AA3" s="14"/>
      <c r="AB3" s="13" t="e">
        <f>AB2-3</f>
        <v>#REF!</v>
      </c>
      <c r="AC3" s="14" t="e">
        <f>AB2+3</f>
        <v>#REF!</v>
      </c>
      <c r="AD3" s="13" t="e">
        <f>AD2-3</f>
        <v>#REF!</v>
      </c>
      <c r="AE3" s="14" t="e">
        <f>AD2+3</f>
        <v>#REF!</v>
      </c>
      <c r="AF3" s="14" t="e">
        <f>AF2-7</f>
        <v>#REF!</v>
      </c>
      <c r="AG3" s="14" t="e">
        <f>AF2+7</f>
        <v>#REF!</v>
      </c>
      <c r="AH3" s="13"/>
      <c r="AI3" s="14"/>
      <c r="AJ3" s="13"/>
      <c r="AK3" s="14"/>
      <c r="AL3" s="13"/>
      <c r="AM3" s="14"/>
      <c r="AN3" s="13"/>
      <c r="AO3" s="14"/>
      <c r="AP3" s="13" t="e">
        <f>AP2-3</f>
        <v>#REF!</v>
      </c>
      <c r="AQ3" s="14" t="e">
        <f>AP2+3</f>
        <v>#REF!</v>
      </c>
      <c r="AR3" s="13"/>
      <c r="AS3" s="14"/>
      <c r="AT3" s="14" t="e">
        <f>AT2-7</f>
        <v>#REF!</v>
      </c>
      <c r="AU3" s="14" t="e">
        <f>AT2+7</f>
        <v>#REF!</v>
      </c>
      <c r="AV3" s="13"/>
      <c r="AW3" s="14"/>
      <c r="AX3" s="13"/>
      <c r="AY3" s="14"/>
      <c r="AZ3" s="13"/>
      <c r="BA3" s="14"/>
      <c r="BB3" s="13"/>
      <c r="BC3" s="14"/>
      <c r="BD3" s="13"/>
      <c r="BE3" s="14"/>
      <c r="BF3" s="14"/>
      <c r="BG3" s="7" t="s">
        <v>33</v>
      </c>
      <c r="BH3" s="21" t="s">
        <v>32</v>
      </c>
      <c r="BI3" s="12" t="e">
        <f>BI2-14</f>
        <v>#REF!</v>
      </c>
      <c r="BJ3" s="12" t="e">
        <f>BI2+14</f>
        <v>#REF!</v>
      </c>
      <c r="BK3" s="12" t="e">
        <f>BK2-14</f>
        <v>#REF!</v>
      </c>
      <c r="BL3" s="12" t="e">
        <f>BK2+14</f>
        <v>#REF!</v>
      </c>
    </row>
  </sheetData>
  <mergeCells count="62"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I1:BJ1"/>
    <mergeCell ref="BK1:BL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E2:BF2"/>
    <mergeCell ref="BI2:BJ2"/>
    <mergeCell ref="BK2:BL2"/>
    <mergeCell ref="A1:A3"/>
    <mergeCell ref="B1:B3"/>
    <mergeCell ref="C1:C3"/>
    <mergeCell ref="D1:D3"/>
    <mergeCell ref="E1:E3"/>
    <mergeCell ref="F1:F3"/>
    <mergeCell ref="G1:G3"/>
    <mergeCell ref="BG1:BG2"/>
  </mergeCells>
  <dataValidations count="1">
    <dataValidation allowBlank="1" showInputMessage="1" showErrorMessage="1" sqref="E1:XFD1 E2:I2 J2:O2 P2:XFD2 A1:D65476 E3:XFD654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巴南区政府办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访视时间安排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2026-03-09T15:58:00Z</dcterms:created>
  <dcterms:modified xsi:type="dcterms:W3CDTF">2026-03-09T17:08:01Z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